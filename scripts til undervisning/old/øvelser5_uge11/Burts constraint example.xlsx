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<sst xmlns="http://schemas.openxmlformats.org/spreadsheetml/2006/main" count="49" uniqueCount="33">
  <si>
    <t xml:space="preserve">direct investment</t>
  </si>
  <si>
    <t xml:space="preserve">Indirect</t>
  </si>
  <si>
    <r>
      <rPr>
        <b val="true"/>
        <sz val="10"/>
        <rFont val="Times New Roman"/>
        <family val="1"/>
      </rPr>
      <t xml:space="preserve">c</t>
    </r>
    <r>
      <rPr>
        <i val="true"/>
        <vertAlign val="subscript"/>
        <sz val="10"/>
        <rFont val="Times New Roman"/>
        <family val="1"/>
      </rPr>
      <t xml:space="preserve">ij</t>
    </r>
    <r>
      <rPr>
        <vertAlign val="subscript"/>
        <sz val="10"/>
        <rFont val="Times New Roman"/>
        <family val="1"/>
      </rPr>
      <t xml:space="preserve"> </t>
    </r>
    <r>
      <rPr>
        <sz val="10"/>
        <rFont val="Times New Roman"/>
        <family val="1"/>
      </rPr>
      <t xml:space="preserve">=</t>
    </r>
  </si>
  <si>
    <t xml:space="preserve">i – j</t>
  </si>
  <si>
    <r>
      <rPr>
        <sz val="10"/>
        <rFont val="Times New Roman"/>
        <family val="1"/>
      </rPr>
      <t xml:space="preserve">p</t>
    </r>
    <r>
      <rPr>
        <vertAlign val="subscript"/>
        <sz val="10"/>
        <rFont val="Times New Roman"/>
        <family val="1"/>
      </rPr>
      <t xml:space="preserve">ij</t>
    </r>
  </si>
  <si>
    <r>
      <rPr>
        <sz val="10"/>
        <rFont val="Times New Roman"/>
        <family val="1"/>
      </rPr>
      <t xml:space="preserve">i – q</t>
    </r>
    <r>
      <rPr>
        <vertAlign val="subscript"/>
        <sz val="10"/>
        <rFont val="Times New Roman"/>
        <family val="1"/>
      </rPr>
      <t xml:space="preserve">1</t>
    </r>
    <r>
      <rPr>
        <sz val="10"/>
        <rFont val="Times New Roman"/>
        <family val="1"/>
      </rPr>
      <t xml:space="preserve"> – j</t>
    </r>
  </si>
  <si>
    <r>
      <rPr>
        <sz val="10"/>
        <rFont val="Times New Roman"/>
        <family val="1"/>
      </rPr>
      <t xml:space="preserve">p</t>
    </r>
    <r>
      <rPr>
        <vertAlign val="subscript"/>
        <sz val="10"/>
        <rFont val="Times New Roman"/>
        <family val="1"/>
      </rPr>
      <t xml:space="preserve">iq </t>
    </r>
    <r>
      <rPr>
        <sz val="10"/>
        <rFont val="Times New Roman"/>
        <family val="1"/>
      </rPr>
      <t xml:space="preserve">* p</t>
    </r>
    <r>
      <rPr>
        <vertAlign val="subscript"/>
        <sz val="10"/>
        <rFont val="Times New Roman"/>
        <family val="1"/>
      </rPr>
      <t xml:space="preserve">qj</t>
    </r>
  </si>
  <si>
    <r>
      <rPr>
        <sz val="10"/>
        <rFont val="Times New Roman"/>
        <family val="1"/>
      </rPr>
      <t xml:space="preserve">i – q</t>
    </r>
    <r>
      <rPr>
        <vertAlign val="subscript"/>
        <sz val="10"/>
        <rFont val="Times New Roman"/>
        <family val="1"/>
      </rPr>
      <t xml:space="preserve">2</t>
    </r>
    <r>
      <rPr>
        <sz val="10"/>
        <rFont val="Times New Roman"/>
        <family val="1"/>
      </rPr>
      <t xml:space="preserve"> – j</t>
    </r>
  </si>
  <si>
    <r>
      <rPr>
        <sz val="10"/>
        <rFont val="Times New Roman"/>
        <family val="1"/>
      </rPr>
      <t xml:space="preserve">i – q</t>
    </r>
    <r>
      <rPr>
        <vertAlign val="subscript"/>
        <sz val="10"/>
        <rFont val="Times New Roman"/>
        <family val="1"/>
      </rPr>
      <t xml:space="preserve">n</t>
    </r>
    <r>
      <rPr>
        <sz val="10"/>
        <rFont val="Times New Roman"/>
        <family val="1"/>
      </rPr>
      <t xml:space="preserve"> – j</t>
    </r>
  </si>
  <si>
    <t xml:space="preserve">Foss – Wiliam Demant</t>
  </si>
  <si>
    <t xml:space="preserve">1/7 =</t>
  </si>
  <si>
    <t xml:space="preserve">…</t>
  </si>
  <si>
    <t xml:space="preserve">Foss – Kunde &amp; co</t>
  </si>
  <si>
    <t xml:space="preserve">Foss – Radiometer</t>
  </si>
  <si>
    <t xml:space="preserve">Foss –(Bavarian)– Radiometer</t>
  </si>
  <si>
    <t xml:space="preserve">1/7 * 1/8 =</t>
  </si>
  <si>
    <t xml:space="preserve">Foss – Bavarian</t>
  </si>
  <si>
    <t xml:space="preserve">Foss –(Radiometer)– Bavarian</t>
  </si>
  <si>
    <t xml:space="preserve">1/7 * 1/2 =</t>
  </si>
  <si>
    <t xml:space="preserve"> ←most constraing neighbour</t>
  </si>
  <si>
    <t xml:space="preserve">Foss – Royal</t>
  </si>
  <si>
    <t xml:space="preserve">Foss –(Tulip)– Royal</t>
  </si>
  <si>
    <t xml:space="preserve">1/7 * 1/9 =</t>
  </si>
  <si>
    <t xml:space="preserve">Foss –(Danish Crown)– Royal</t>
  </si>
  <si>
    <t xml:space="preserve">1/7 * 1/11 =</t>
  </si>
  <si>
    <t xml:space="preserve">Foss – Tulip</t>
  </si>
  <si>
    <t xml:space="preserve">Foss –(Danish Crown)– Tulip</t>
  </si>
  <si>
    <t xml:space="preserve">Foss –(Royal Unibrew)– Tulip</t>
  </si>
  <si>
    <t xml:space="preserve">1/7 * 1/13 =</t>
  </si>
  <si>
    <t xml:space="preserve">Foss – Danish Crown</t>
  </si>
  <si>
    <t xml:space="preserve">Foss –(Tulip)– Danish Crown</t>
  </si>
  <si>
    <t xml:space="preserve">Foss –(Royal Unibrew)– Danish Crown</t>
  </si>
  <si>
    <r>
      <rPr>
        <b val="true"/>
        <sz val="10"/>
        <rFont val="Times New Roman"/>
        <family val="1"/>
      </rPr>
      <t xml:space="preserve">c</t>
    </r>
    <r>
      <rPr>
        <i val="true"/>
        <vertAlign val="subscript"/>
        <sz val="10"/>
        <rFont val="Times New Roman"/>
        <family val="1"/>
      </rPr>
      <t xml:space="preserve">i </t>
    </r>
    <r>
      <rPr>
        <i val="true"/>
        <sz val="10"/>
        <rFont val="Times New Roman"/>
        <family val="1"/>
      </rPr>
      <t xml:space="preserve">=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</si>
</sst>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0"/>
      <name val="Times New Roman"/>
      <family val="1"/>
    </font>
    <font>
      <b val="true"/>
      <sz val="10"/>
      <name val="Times New Roman"/>
      <family val="1"/>
    </font>
    <font>
      <i val="true"/>
      <vertAlign val="subscript"/>
      <sz val="10"/>
      <name val="Times New Roman"/>
      <family val="1"/>
    </font>
    <font>
      <vertAlign val="subscript"/>
      <sz val="10"/>
      <name val="Times New Roman"/>
      <family val="1"/>
    </font>
    <font>
      <sz val="10"/>
      <name val="Times New Roman"/>
      <family val="1"/>
    </font>
    <font>
      <sz val="6.8"/>
      <name val="Times New Roman"/>
      <family val="1"/>
    </font>
    <font>
      <i val="true"/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thin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63720</xdr:colOff>
      <xdr:row>12</xdr:row>
      <xdr:rowOff>48600</xdr:rowOff>
    </xdr:from>
    <xdr:to>
      <xdr:col>6</xdr:col>
      <xdr:colOff>2332080</xdr:colOff>
      <xdr:row>45</xdr:row>
      <xdr:rowOff>56880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63720" y="2297520"/>
          <a:ext cx="7983720" cy="53730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3</xdr:col>
      <xdr:colOff>171720</xdr:colOff>
      <xdr:row>13</xdr:row>
      <xdr:rowOff>105480</xdr:rowOff>
    </xdr:from>
    <xdr:to>
      <xdr:col>3</xdr:col>
      <xdr:colOff>1417680</xdr:colOff>
      <xdr:row>14</xdr:row>
      <xdr:rowOff>115200</xdr:rowOff>
    </xdr:to>
    <xdr:sp>
      <xdr:nvSpPr>
        <xdr:cNvPr id="1" name=""/>
        <xdr:cNvSpPr txBox="1"/>
      </xdr:nvSpPr>
      <xdr:spPr>
        <a:xfrm>
          <a:off x="2674800" y="251712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8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4</xdr:col>
      <xdr:colOff>707040</xdr:colOff>
      <xdr:row>18</xdr:row>
      <xdr:rowOff>124560</xdr:rowOff>
    </xdr:from>
    <xdr:to>
      <xdr:col>6</xdr:col>
      <xdr:colOff>640080</xdr:colOff>
      <xdr:row>19</xdr:row>
      <xdr:rowOff>134280</xdr:rowOff>
    </xdr:to>
    <xdr:sp>
      <xdr:nvSpPr>
        <xdr:cNvPr id="2" name=""/>
        <xdr:cNvSpPr txBox="1"/>
      </xdr:nvSpPr>
      <xdr:spPr>
        <a:xfrm>
          <a:off x="5109480" y="334908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13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1212120</xdr:colOff>
      <xdr:row>20</xdr:row>
      <xdr:rowOff>90720</xdr:rowOff>
    </xdr:from>
    <xdr:to>
      <xdr:col>7</xdr:col>
      <xdr:colOff>80640</xdr:colOff>
      <xdr:row>21</xdr:row>
      <xdr:rowOff>100440</xdr:rowOff>
    </xdr:to>
    <xdr:sp>
      <xdr:nvSpPr>
        <xdr:cNvPr id="3" name=""/>
        <xdr:cNvSpPr txBox="1"/>
      </xdr:nvSpPr>
      <xdr:spPr>
        <a:xfrm>
          <a:off x="6927480" y="364032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9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6</xdr:col>
      <xdr:colOff>237960</xdr:colOff>
      <xdr:row>30</xdr:row>
      <xdr:rowOff>102600</xdr:rowOff>
    </xdr:from>
    <xdr:to>
      <xdr:col>6</xdr:col>
      <xdr:colOff>933120</xdr:colOff>
      <xdr:row>31</xdr:row>
      <xdr:rowOff>111960</xdr:rowOff>
    </xdr:to>
    <xdr:sp>
      <xdr:nvSpPr>
        <xdr:cNvPr id="4" name=""/>
        <xdr:cNvSpPr txBox="1"/>
      </xdr:nvSpPr>
      <xdr:spPr>
        <a:xfrm>
          <a:off x="5953320" y="5277600"/>
          <a:ext cx="6951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11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1751400</xdr:colOff>
      <xdr:row>43</xdr:row>
      <xdr:rowOff>67680</xdr:rowOff>
    </xdr:from>
    <xdr:to>
      <xdr:col>4</xdr:col>
      <xdr:colOff>567720</xdr:colOff>
      <xdr:row>44</xdr:row>
      <xdr:rowOff>77040</xdr:rowOff>
    </xdr:to>
    <xdr:sp>
      <xdr:nvSpPr>
        <xdr:cNvPr id="5" name=""/>
        <xdr:cNvSpPr txBox="1"/>
      </xdr:nvSpPr>
      <xdr:spPr>
        <a:xfrm>
          <a:off x="4254480" y="7355880"/>
          <a:ext cx="71568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1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1355760</xdr:colOff>
      <xdr:row>36</xdr:row>
      <xdr:rowOff>118080</xdr:rowOff>
    </xdr:from>
    <xdr:to>
      <xdr:col>1</xdr:col>
      <xdr:colOff>626760</xdr:colOff>
      <xdr:row>37</xdr:row>
      <xdr:rowOff>127800</xdr:rowOff>
    </xdr:to>
    <xdr:sp>
      <xdr:nvSpPr>
        <xdr:cNvPr id="6" name=""/>
        <xdr:cNvSpPr txBox="1"/>
      </xdr:nvSpPr>
      <xdr:spPr>
        <a:xfrm>
          <a:off x="1355760" y="6268680"/>
          <a:ext cx="63612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8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205920</xdr:colOff>
      <xdr:row>26</xdr:row>
      <xdr:rowOff>50760</xdr:rowOff>
    </xdr:from>
    <xdr:to>
      <xdr:col>1</xdr:col>
      <xdr:colOff>86760</xdr:colOff>
      <xdr:row>27</xdr:row>
      <xdr:rowOff>60120</xdr:rowOff>
    </xdr:to>
    <xdr:sp>
      <xdr:nvSpPr>
        <xdr:cNvPr id="7" name=""/>
        <xdr:cNvSpPr txBox="1"/>
      </xdr:nvSpPr>
      <xdr:spPr>
        <a:xfrm>
          <a:off x="205920" y="457560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2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3</xdr:col>
      <xdr:colOff>1311480</xdr:colOff>
      <xdr:row>25</xdr:row>
      <xdr:rowOff>27360</xdr:rowOff>
    </xdr:from>
    <xdr:to>
      <xdr:col>4</xdr:col>
      <xdr:colOff>658080</xdr:colOff>
      <xdr:row>26</xdr:row>
      <xdr:rowOff>36720</xdr:rowOff>
    </xdr:to>
    <xdr:sp>
      <xdr:nvSpPr>
        <xdr:cNvPr id="8" name=""/>
        <xdr:cNvSpPr txBox="1"/>
      </xdr:nvSpPr>
      <xdr:spPr>
        <a:xfrm>
          <a:off x="3814560" y="438948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Degree 7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94320</xdr:colOff>
      <xdr:row>36</xdr:row>
      <xdr:rowOff>2520</xdr:rowOff>
    </xdr:from>
    <xdr:to>
      <xdr:col>0</xdr:col>
      <xdr:colOff>933840</xdr:colOff>
      <xdr:row>37</xdr:row>
      <xdr:rowOff>54720</xdr:rowOff>
    </xdr:to>
    <xdr:sp>
      <xdr:nvSpPr>
        <xdr:cNvPr id="9" name=""/>
        <xdr:cNvSpPr/>
      </xdr:nvSpPr>
      <xdr:spPr>
        <a:xfrm flipH="1">
          <a:off x="94320" y="6153120"/>
          <a:ext cx="839520" cy="214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532800</xdr:colOff>
      <xdr:row>35</xdr:row>
      <xdr:rowOff>141480</xdr:rowOff>
    </xdr:from>
    <xdr:to>
      <xdr:col>0</xdr:col>
      <xdr:colOff>1179360</xdr:colOff>
      <xdr:row>45</xdr:row>
      <xdr:rowOff>86760</xdr:rowOff>
    </xdr:to>
    <xdr:sp>
      <xdr:nvSpPr>
        <xdr:cNvPr id="10" name=""/>
        <xdr:cNvSpPr/>
      </xdr:nvSpPr>
      <xdr:spPr>
        <a:xfrm flipH="1">
          <a:off x="532800" y="6129360"/>
          <a:ext cx="646560" cy="15710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1168920</xdr:colOff>
      <xdr:row>36</xdr:row>
      <xdr:rowOff>40680</xdr:rowOff>
    </xdr:from>
    <xdr:to>
      <xdr:col>0</xdr:col>
      <xdr:colOff>1211040</xdr:colOff>
      <xdr:row>45</xdr:row>
      <xdr:rowOff>75960</xdr:rowOff>
    </xdr:to>
    <xdr:sp>
      <xdr:nvSpPr>
        <xdr:cNvPr id="11" name=""/>
        <xdr:cNvSpPr/>
      </xdr:nvSpPr>
      <xdr:spPr>
        <a:xfrm flipH="1">
          <a:off x="1168560" y="6191280"/>
          <a:ext cx="42120" cy="14983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72720</xdr:colOff>
      <xdr:row>33</xdr:row>
      <xdr:rowOff>130680</xdr:rowOff>
    </xdr:from>
    <xdr:to>
      <xdr:col>0</xdr:col>
      <xdr:colOff>1168920</xdr:colOff>
      <xdr:row>35</xdr:row>
      <xdr:rowOff>33120</xdr:rowOff>
    </xdr:to>
    <xdr:sp>
      <xdr:nvSpPr>
        <xdr:cNvPr id="12" name=""/>
        <xdr:cNvSpPr/>
      </xdr:nvSpPr>
      <xdr:spPr>
        <a:xfrm flipH="1" flipV="1">
          <a:off x="72360" y="5793480"/>
          <a:ext cx="1096200" cy="227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1234440</xdr:colOff>
      <xdr:row>36</xdr:row>
      <xdr:rowOff>11160</xdr:rowOff>
    </xdr:from>
    <xdr:to>
      <xdr:col>1</xdr:col>
      <xdr:colOff>471960</xdr:colOff>
      <xdr:row>45</xdr:row>
      <xdr:rowOff>86760</xdr:rowOff>
    </xdr:to>
    <xdr:sp>
      <xdr:nvSpPr>
        <xdr:cNvPr id="13" name=""/>
        <xdr:cNvSpPr/>
      </xdr:nvSpPr>
      <xdr:spPr>
        <a:xfrm>
          <a:off x="1234440" y="6161760"/>
          <a:ext cx="602640" cy="1538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83160</xdr:colOff>
      <xdr:row>36</xdr:row>
      <xdr:rowOff>33120</xdr:rowOff>
    </xdr:from>
    <xdr:to>
      <xdr:col>0</xdr:col>
      <xdr:colOff>1146600</xdr:colOff>
      <xdr:row>42</xdr:row>
      <xdr:rowOff>141840</xdr:rowOff>
    </xdr:to>
    <xdr:sp>
      <xdr:nvSpPr>
        <xdr:cNvPr id="14" name=""/>
        <xdr:cNvSpPr/>
      </xdr:nvSpPr>
      <xdr:spPr>
        <a:xfrm flipH="1">
          <a:off x="83160" y="6183360"/>
          <a:ext cx="1063440" cy="10839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1346760</xdr:colOff>
      <xdr:row>28</xdr:row>
      <xdr:rowOff>87480</xdr:rowOff>
    </xdr:from>
    <xdr:to>
      <xdr:col>6</xdr:col>
      <xdr:colOff>2278080</xdr:colOff>
      <xdr:row>29</xdr:row>
      <xdr:rowOff>31680</xdr:rowOff>
    </xdr:to>
    <xdr:sp>
      <xdr:nvSpPr>
        <xdr:cNvPr id="15" name=""/>
        <xdr:cNvSpPr/>
      </xdr:nvSpPr>
      <xdr:spPr>
        <a:xfrm flipV="1">
          <a:off x="7061760" y="4937040"/>
          <a:ext cx="931320" cy="1069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1148760</xdr:colOff>
      <xdr:row>29</xdr:row>
      <xdr:rowOff>108720</xdr:rowOff>
    </xdr:from>
    <xdr:to>
      <xdr:col>6</xdr:col>
      <xdr:colOff>2278080</xdr:colOff>
      <xdr:row>34</xdr:row>
      <xdr:rowOff>98280</xdr:rowOff>
    </xdr:to>
    <xdr:sp>
      <xdr:nvSpPr>
        <xdr:cNvPr id="16" name=""/>
        <xdr:cNvSpPr/>
      </xdr:nvSpPr>
      <xdr:spPr>
        <a:xfrm>
          <a:off x="6863760" y="5121360"/>
          <a:ext cx="1129320" cy="8020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1104840</xdr:colOff>
      <xdr:row>29</xdr:row>
      <xdr:rowOff>98280</xdr:rowOff>
    </xdr:from>
    <xdr:to>
      <xdr:col>6</xdr:col>
      <xdr:colOff>2047680</xdr:colOff>
      <xdr:row>45</xdr:row>
      <xdr:rowOff>32760</xdr:rowOff>
    </xdr:to>
    <xdr:sp>
      <xdr:nvSpPr>
        <xdr:cNvPr id="17" name=""/>
        <xdr:cNvSpPr/>
      </xdr:nvSpPr>
      <xdr:spPr>
        <a:xfrm>
          <a:off x="6819840" y="5110560"/>
          <a:ext cx="942840" cy="25354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1030320</xdr:colOff>
      <xdr:row>29</xdr:row>
      <xdr:rowOff>136440</xdr:rowOff>
    </xdr:from>
    <xdr:to>
      <xdr:col>6</xdr:col>
      <xdr:colOff>1037160</xdr:colOff>
      <xdr:row>45</xdr:row>
      <xdr:rowOff>32760</xdr:rowOff>
    </xdr:to>
    <xdr:sp>
      <xdr:nvSpPr>
        <xdr:cNvPr id="18" name=""/>
        <xdr:cNvSpPr/>
      </xdr:nvSpPr>
      <xdr:spPr>
        <a:xfrm flipH="1">
          <a:off x="6745320" y="5148720"/>
          <a:ext cx="6840" cy="24973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200880</xdr:colOff>
      <xdr:row>29</xdr:row>
      <xdr:rowOff>119520</xdr:rowOff>
    </xdr:from>
    <xdr:to>
      <xdr:col>6</xdr:col>
      <xdr:colOff>1049760</xdr:colOff>
      <xdr:row>45</xdr:row>
      <xdr:rowOff>86760</xdr:rowOff>
    </xdr:to>
    <xdr:sp>
      <xdr:nvSpPr>
        <xdr:cNvPr id="19" name=""/>
        <xdr:cNvSpPr/>
      </xdr:nvSpPr>
      <xdr:spPr>
        <a:xfrm flipH="1">
          <a:off x="5916240" y="5132160"/>
          <a:ext cx="848880" cy="2568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1104480</xdr:colOff>
      <xdr:row>29</xdr:row>
      <xdr:rowOff>108720</xdr:rowOff>
    </xdr:from>
    <xdr:to>
      <xdr:col>6</xdr:col>
      <xdr:colOff>2266560</xdr:colOff>
      <xdr:row>38</xdr:row>
      <xdr:rowOff>97920</xdr:rowOff>
    </xdr:to>
    <xdr:sp>
      <xdr:nvSpPr>
        <xdr:cNvPr id="20" name=""/>
        <xdr:cNvSpPr/>
      </xdr:nvSpPr>
      <xdr:spPr>
        <a:xfrm>
          <a:off x="6819840" y="5121360"/>
          <a:ext cx="1162080" cy="1452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1366200</xdr:colOff>
      <xdr:row>29</xdr:row>
      <xdr:rowOff>60120</xdr:rowOff>
    </xdr:from>
    <xdr:to>
      <xdr:col>6</xdr:col>
      <xdr:colOff>2277720</xdr:colOff>
      <xdr:row>30</xdr:row>
      <xdr:rowOff>22320</xdr:rowOff>
    </xdr:to>
    <xdr:sp>
      <xdr:nvSpPr>
        <xdr:cNvPr id="21" name=""/>
        <xdr:cNvSpPr/>
      </xdr:nvSpPr>
      <xdr:spPr>
        <a:xfrm>
          <a:off x="7081560" y="5072760"/>
          <a:ext cx="911520" cy="1245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1105920</xdr:colOff>
      <xdr:row>29</xdr:row>
      <xdr:rowOff>108000</xdr:rowOff>
    </xdr:from>
    <xdr:to>
      <xdr:col>6</xdr:col>
      <xdr:colOff>1576080</xdr:colOff>
      <xdr:row>45</xdr:row>
      <xdr:rowOff>43920</xdr:rowOff>
    </xdr:to>
    <xdr:sp>
      <xdr:nvSpPr>
        <xdr:cNvPr id="22" name=""/>
        <xdr:cNvSpPr/>
      </xdr:nvSpPr>
      <xdr:spPr>
        <a:xfrm>
          <a:off x="6821280" y="5120280"/>
          <a:ext cx="470160" cy="25369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1022760</xdr:colOff>
      <xdr:row>16</xdr:row>
      <xdr:rowOff>142560</xdr:rowOff>
    </xdr:from>
    <xdr:to>
      <xdr:col>7</xdr:col>
      <xdr:colOff>349560</xdr:colOff>
      <xdr:row>18</xdr:row>
      <xdr:rowOff>71640</xdr:rowOff>
    </xdr:to>
    <xdr:sp>
      <xdr:nvSpPr>
        <xdr:cNvPr id="23" name=""/>
        <xdr:cNvSpPr/>
      </xdr:nvSpPr>
      <xdr:spPr>
        <a:xfrm flipV="1">
          <a:off x="7462800" y="2316600"/>
          <a:ext cx="254520" cy="1704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1801800</xdr:colOff>
      <xdr:row>23</xdr:row>
      <xdr:rowOff>117360</xdr:rowOff>
    </xdr:from>
    <xdr:to>
      <xdr:col>6</xdr:col>
      <xdr:colOff>2278080</xdr:colOff>
      <xdr:row>25</xdr:row>
      <xdr:rowOff>130680</xdr:rowOff>
    </xdr:to>
    <xdr:sp>
      <xdr:nvSpPr>
        <xdr:cNvPr id="24" name=""/>
        <xdr:cNvSpPr/>
      </xdr:nvSpPr>
      <xdr:spPr>
        <a:xfrm>
          <a:off x="7516800" y="4154400"/>
          <a:ext cx="476280" cy="338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1458360</xdr:colOff>
      <xdr:row>17</xdr:row>
      <xdr:rowOff>108000</xdr:rowOff>
    </xdr:from>
    <xdr:to>
      <xdr:col>7</xdr:col>
      <xdr:colOff>235800</xdr:colOff>
      <xdr:row>20</xdr:row>
      <xdr:rowOff>148320</xdr:rowOff>
    </xdr:to>
    <xdr:sp>
      <xdr:nvSpPr>
        <xdr:cNvPr id="25" name=""/>
        <xdr:cNvSpPr/>
      </xdr:nvSpPr>
      <xdr:spPr>
        <a:xfrm flipV="1">
          <a:off x="7486920" y="2856240"/>
          <a:ext cx="528120" cy="1154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1847520</xdr:colOff>
      <xdr:row>20</xdr:row>
      <xdr:rowOff>14400</xdr:rowOff>
    </xdr:from>
    <xdr:to>
      <xdr:col>6</xdr:col>
      <xdr:colOff>2313360</xdr:colOff>
      <xdr:row>22</xdr:row>
      <xdr:rowOff>105840</xdr:rowOff>
    </xdr:to>
    <xdr:sp>
      <xdr:nvSpPr>
        <xdr:cNvPr id="26" name=""/>
        <xdr:cNvSpPr/>
      </xdr:nvSpPr>
      <xdr:spPr>
        <a:xfrm flipV="1">
          <a:off x="7587360" y="3539160"/>
          <a:ext cx="416520" cy="4658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1771920</xdr:colOff>
      <xdr:row>23</xdr:row>
      <xdr:rowOff>98280</xdr:rowOff>
    </xdr:from>
    <xdr:to>
      <xdr:col>6</xdr:col>
      <xdr:colOff>2300040</xdr:colOff>
      <xdr:row>27</xdr:row>
      <xdr:rowOff>98280</xdr:rowOff>
    </xdr:to>
    <xdr:sp>
      <xdr:nvSpPr>
        <xdr:cNvPr id="27" name=""/>
        <xdr:cNvSpPr/>
      </xdr:nvSpPr>
      <xdr:spPr>
        <a:xfrm>
          <a:off x="7486920" y="4134960"/>
          <a:ext cx="528120" cy="650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1882800</xdr:colOff>
      <xdr:row>23</xdr:row>
      <xdr:rowOff>120240</xdr:rowOff>
    </xdr:from>
    <xdr:to>
      <xdr:col>6</xdr:col>
      <xdr:colOff>2255760</xdr:colOff>
      <xdr:row>24</xdr:row>
      <xdr:rowOff>97920</xdr:rowOff>
    </xdr:to>
    <xdr:sp>
      <xdr:nvSpPr>
        <xdr:cNvPr id="28" name=""/>
        <xdr:cNvSpPr/>
      </xdr:nvSpPr>
      <xdr:spPr>
        <a:xfrm>
          <a:off x="7598160" y="4157280"/>
          <a:ext cx="372960" cy="14040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287640</xdr:colOff>
      <xdr:row>12</xdr:row>
      <xdr:rowOff>46440</xdr:rowOff>
    </xdr:from>
    <xdr:to>
      <xdr:col>6</xdr:col>
      <xdr:colOff>1566360</xdr:colOff>
      <xdr:row>18</xdr:row>
      <xdr:rowOff>128160</xdr:rowOff>
    </xdr:to>
    <xdr:sp>
      <xdr:nvSpPr>
        <xdr:cNvPr id="29" name=""/>
        <xdr:cNvSpPr/>
      </xdr:nvSpPr>
      <xdr:spPr>
        <a:xfrm flipV="1">
          <a:off x="6113520" y="2184480"/>
          <a:ext cx="1057320" cy="12787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9360</xdr:colOff>
      <xdr:row>13</xdr:row>
      <xdr:rowOff>96840</xdr:rowOff>
    </xdr:from>
    <xdr:to>
      <xdr:col>6</xdr:col>
      <xdr:colOff>1331640</xdr:colOff>
      <xdr:row>17</xdr:row>
      <xdr:rowOff>34560</xdr:rowOff>
    </xdr:to>
    <xdr:sp>
      <xdr:nvSpPr>
        <xdr:cNvPr id="30" name=""/>
        <xdr:cNvSpPr/>
      </xdr:nvSpPr>
      <xdr:spPr>
        <a:xfrm flipV="1">
          <a:off x="6091560" y="2140920"/>
          <a:ext cx="587880" cy="13222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386640</xdr:colOff>
      <xdr:row>14</xdr:row>
      <xdr:rowOff>116640</xdr:rowOff>
    </xdr:from>
    <xdr:to>
      <xdr:col>6</xdr:col>
      <xdr:colOff>1152360</xdr:colOff>
      <xdr:row>16</xdr:row>
      <xdr:rowOff>83160</xdr:rowOff>
    </xdr:to>
    <xdr:sp>
      <xdr:nvSpPr>
        <xdr:cNvPr id="31" name=""/>
        <xdr:cNvSpPr/>
      </xdr:nvSpPr>
      <xdr:spPr>
        <a:xfrm flipV="1">
          <a:off x="6091920" y="2206440"/>
          <a:ext cx="291600" cy="12596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38880</xdr:colOff>
      <xdr:row>14</xdr:row>
      <xdr:rowOff>101880</xdr:rowOff>
    </xdr:from>
    <xdr:to>
      <xdr:col>6</xdr:col>
      <xdr:colOff>823680</xdr:colOff>
      <xdr:row>16</xdr:row>
      <xdr:rowOff>72720</xdr:rowOff>
    </xdr:to>
    <xdr:sp>
      <xdr:nvSpPr>
        <xdr:cNvPr id="32" name=""/>
        <xdr:cNvSpPr/>
      </xdr:nvSpPr>
      <xdr:spPr>
        <a:xfrm flipH="1" flipV="1">
          <a:off x="5751720" y="2184480"/>
          <a:ext cx="295920" cy="12787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655200</xdr:colOff>
      <xdr:row>13</xdr:row>
      <xdr:rowOff>148680</xdr:rowOff>
    </xdr:from>
    <xdr:to>
      <xdr:col>6</xdr:col>
      <xdr:colOff>686160</xdr:colOff>
      <xdr:row>17</xdr:row>
      <xdr:rowOff>25560</xdr:rowOff>
    </xdr:to>
    <xdr:sp>
      <xdr:nvSpPr>
        <xdr:cNvPr id="33" name=""/>
        <xdr:cNvSpPr/>
      </xdr:nvSpPr>
      <xdr:spPr>
        <a:xfrm flipH="1" flipV="1">
          <a:off x="5465880" y="2151720"/>
          <a:ext cx="527040" cy="1343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458280</xdr:colOff>
      <xdr:row>12</xdr:row>
      <xdr:rowOff>92160</xdr:rowOff>
    </xdr:from>
    <xdr:to>
      <xdr:col>6</xdr:col>
      <xdr:colOff>456120</xdr:colOff>
      <xdr:row>18</xdr:row>
      <xdr:rowOff>158760</xdr:rowOff>
    </xdr:to>
    <xdr:sp>
      <xdr:nvSpPr>
        <xdr:cNvPr id="34" name=""/>
        <xdr:cNvSpPr/>
      </xdr:nvSpPr>
      <xdr:spPr>
        <a:xfrm flipH="1" flipV="1">
          <a:off x="4994640" y="2206440"/>
          <a:ext cx="1042200" cy="13107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101520</xdr:colOff>
      <xdr:row>13</xdr:row>
      <xdr:rowOff>15480</xdr:rowOff>
    </xdr:from>
    <xdr:to>
      <xdr:col>6</xdr:col>
      <xdr:colOff>1423800</xdr:colOff>
      <xdr:row>17</xdr:row>
      <xdr:rowOff>137520</xdr:rowOff>
    </xdr:to>
    <xdr:sp>
      <xdr:nvSpPr>
        <xdr:cNvPr id="35" name=""/>
        <xdr:cNvSpPr/>
      </xdr:nvSpPr>
      <xdr:spPr>
        <a:xfrm flipV="1">
          <a:off x="6091560" y="2151720"/>
          <a:ext cx="772200" cy="13222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376560</xdr:colOff>
      <xdr:row>11</xdr:row>
      <xdr:rowOff>76320</xdr:rowOff>
    </xdr:from>
    <xdr:to>
      <xdr:col>6</xdr:col>
      <xdr:colOff>1784520</xdr:colOff>
      <xdr:row>19</xdr:row>
      <xdr:rowOff>109080</xdr:rowOff>
    </xdr:to>
    <xdr:sp>
      <xdr:nvSpPr>
        <xdr:cNvPr id="36" name=""/>
        <xdr:cNvSpPr/>
      </xdr:nvSpPr>
      <xdr:spPr>
        <a:xfrm flipV="1">
          <a:off x="6091560" y="2162520"/>
          <a:ext cx="1407960" cy="13330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219960</xdr:colOff>
      <xdr:row>15</xdr:row>
      <xdr:rowOff>32760</xdr:rowOff>
    </xdr:from>
    <xdr:to>
      <xdr:col>6</xdr:col>
      <xdr:colOff>994320</xdr:colOff>
      <xdr:row>15</xdr:row>
      <xdr:rowOff>109440</xdr:rowOff>
    </xdr:to>
    <xdr:sp>
      <xdr:nvSpPr>
        <xdr:cNvPr id="37" name=""/>
        <xdr:cNvSpPr/>
      </xdr:nvSpPr>
      <xdr:spPr>
        <a:xfrm flipV="1">
          <a:off x="6036840" y="2173320"/>
          <a:ext cx="76680" cy="12682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14760</xdr:colOff>
      <xdr:row>11</xdr:row>
      <xdr:rowOff>120240</xdr:rowOff>
    </xdr:from>
    <xdr:to>
      <xdr:col>6</xdr:col>
      <xdr:colOff>245160</xdr:colOff>
      <xdr:row>19</xdr:row>
      <xdr:rowOff>76680</xdr:rowOff>
    </xdr:to>
    <xdr:sp>
      <xdr:nvSpPr>
        <xdr:cNvPr id="38" name=""/>
        <xdr:cNvSpPr/>
      </xdr:nvSpPr>
      <xdr:spPr>
        <a:xfrm flipH="1" flipV="1">
          <a:off x="4416840" y="2206440"/>
          <a:ext cx="1543320" cy="12567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392400</xdr:colOff>
      <xdr:row>11</xdr:row>
      <xdr:rowOff>155520</xdr:rowOff>
    </xdr:from>
    <xdr:to>
      <xdr:col>3</xdr:col>
      <xdr:colOff>547200</xdr:colOff>
      <xdr:row>14</xdr:row>
      <xdr:rowOff>131040</xdr:rowOff>
    </xdr:to>
    <xdr:sp>
      <xdr:nvSpPr>
        <xdr:cNvPr id="39" name=""/>
        <xdr:cNvSpPr/>
      </xdr:nvSpPr>
      <xdr:spPr>
        <a:xfrm flipV="1">
          <a:off x="2407320" y="2242080"/>
          <a:ext cx="642600" cy="4629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312120</xdr:colOff>
      <xdr:row>12</xdr:row>
      <xdr:rowOff>127800</xdr:rowOff>
    </xdr:from>
    <xdr:to>
      <xdr:col>3</xdr:col>
      <xdr:colOff>199440</xdr:colOff>
      <xdr:row>14</xdr:row>
      <xdr:rowOff>61920</xdr:rowOff>
    </xdr:to>
    <xdr:sp>
      <xdr:nvSpPr>
        <xdr:cNvPr id="40" name=""/>
        <xdr:cNvSpPr/>
      </xdr:nvSpPr>
      <xdr:spPr>
        <a:xfrm flipV="1">
          <a:off x="2385360" y="2318760"/>
          <a:ext cx="259200" cy="375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180720</xdr:colOff>
      <xdr:row>13</xdr:row>
      <xdr:rowOff>10800</xdr:rowOff>
    </xdr:from>
    <xdr:to>
      <xdr:col>3</xdr:col>
      <xdr:colOff>143280</xdr:colOff>
      <xdr:row>13</xdr:row>
      <xdr:rowOff>82080</xdr:rowOff>
    </xdr:to>
    <xdr:sp>
      <xdr:nvSpPr>
        <xdr:cNvPr id="41" name=""/>
        <xdr:cNvSpPr/>
      </xdr:nvSpPr>
      <xdr:spPr>
        <a:xfrm flipV="1">
          <a:off x="2385360" y="2232720"/>
          <a:ext cx="71280" cy="4503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58680</xdr:colOff>
      <xdr:row>13</xdr:row>
      <xdr:rowOff>14760</xdr:rowOff>
    </xdr:from>
    <xdr:to>
      <xdr:col>3</xdr:col>
      <xdr:colOff>20160</xdr:colOff>
      <xdr:row>13</xdr:row>
      <xdr:rowOff>153000</xdr:rowOff>
    </xdr:to>
    <xdr:sp>
      <xdr:nvSpPr>
        <xdr:cNvPr id="42" name=""/>
        <xdr:cNvSpPr/>
      </xdr:nvSpPr>
      <xdr:spPr>
        <a:xfrm flipH="1" flipV="1">
          <a:off x="2229480" y="2270880"/>
          <a:ext cx="138240" cy="4492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567720</xdr:colOff>
      <xdr:row>12</xdr:row>
      <xdr:rowOff>3600</xdr:rowOff>
    </xdr:from>
    <xdr:to>
      <xdr:col>2</xdr:col>
      <xdr:colOff>409320</xdr:colOff>
      <xdr:row>14</xdr:row>
      <xdr:rowOff>91800</xdr:rowOff>
    </xdr:to>
    <xdr:sp>
      <xdr:nvSpPr>
        <xdr:cNvPr id="43" name=""/>
        <xdr:cNvSpPr/>
      </xdr:nvSpPr>
      <xdr:spPr>
        <a:xfrm flipH="1" flipV="1">
          <a:off x="1972080" y="2213280"/>
          <a:ext cx="413280" cy="4917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</xdr:col>
      <xdr:colOff>281160</xdr:colOff>
      <xdr:row>12</xdr:row>
      <xdr:rowOff>41400</xdr:rowOff>
    </xdr:from>
    <xdr:to>
      <xdr:col>2</xdr:col>
      <xdr:colOff>359280</xdr:colOff>
      <xdr:row>14</xdr:row>
      <xdr:rowOff>131400</xdr:rowOff>
    </xdr:to>
    <xdr:sp>
      <xdr:nvSpPr>
        <xdr:cNvPr id="44" name=""/>
        <xdr:cNvSpPr/>
      </xdr:nvSpPr>
      <xdr:spPr>
        <a:xfrm flipH="1" flipV="1">
          <a:off x="1645920" y="2289960"/>
          <a:ext cx="728280" cy="4150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795960</xdr:colOff>
      <xdr:row>12</xdr:row>
      <xdr:rowOff>65880</xdr:rowOff>
    </xdr:from>
    <xdr:to>
      <xdr:col>2</xdr:col>
      <xdr:colOff>151200</xdr:colOff>
      <xdr:row>14</xdr:row>
      <xdr:rowOff>131040</xdr:rowOff>
    </xdr:to>
    <xdr:sp>
      <xdr:nvSpPr>
        <xdr:cNvPr id="45" name=""/>
        <xdr:cNvSpPr/>
      </xdr:nvSpPr>
      <xdr:spPr>
        <a:xfrm flipH="1" flipV="1">
          <a:off x="795600" y="2314800"/>
          <a:ext cx="1370520" cy="39024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214920</xdr:colOff>
      <xdr:row>13</xdr:row>
      <xdr:rowOff>162000</xdr:rowOff>
    </xdr:from>
    <xdr:to>
      <xdr:col>1</xdr:col>
      <xdr:colOff>95760</xdr:colOff>
      <xdr:row>15</xdr:row>
      <xdr:rowOff>9000</xdr:rowOff>
    </xdr:to>
    <xdr:sp>
      <xdr:nvSpPr>
        <xdr:cNvPr id="46" name=""/>
        <xdr:cNvSpPr txBox="1"/>
      </xdr:nvSpPr>
      <xdr:spPr>
        <a:xfrm>
          <a:off x="214920" y="257364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O</a:t>
          </a:r>
          <a:r>
            <a:rPr b="0" lang="en-US" sz="1200" spc="-1" strike="noStrike">
              <a:latin typeface="Times New Roman"/>
            </a:rPr>
            <a:t>v</a:t>
          </a:r>
          <a:r>
            <a:rPr b="0" lang="en-US" sz="1200" spc="-1" strike="noStrike">
              <a:latin typeface="Times New Roman"/>
            </a:rPr>
            <a:t>e</a:t>
          </a:r>
          <a:r>
            <a:rPr b="0" lang="en-US" sz="1200" spc="-1" strike="noStrike">
              <a:latin typeface="Times New Roman"/>
            </a:rPr>
            <a:t>r</a:t>
          </a:r>
          <a:r>
            <a:rPr b="0" lang="en-US" sz="1200" spc="-1" strike="noStrike">
              <a:latin typeface="Times New Roman"/>
            </a:rPr>
            <a:t>a</a:t>
          </a:r>
          <a:r>
            <a:rPr b="0" lang="en-US" sz="1200" spc="-1" strike="noStrike">
              <a:latin typeface="Times New Roman"/>
            </a:rPr>
            <a:t>l</a:t>
          </a:r>
          <a:r>
            <a:rPr b="0" lang="en-US" sz="1200" spc="-1" strike="noStrike">
              <a:latin typeface="Times New Roman"/>
            </a:rPr>
            <a:t>l</a:t>
          </a:r>
          <a:r>
            <a:rPr b="0" lang="en-US" sz="1200" spc="-1" strike="noStrike">
              <a:latin typeface="Times New Roman"/>
            </a:rPr>
            <a:t> </a:t>
          </a:r>
          <a:r>
            <a:rPr b="0" lang="en-US" sz="1200" spc="-1" strike="noStrike">
              <a:latin typeface="Times New Roman"/>
            </a:rPr>
            <a:t>c</a:t>
          </a:r>
          <a:r>
            <a:rPr b="0" lang="en-US" sz="1200" spc="-1" strike="noStrike">
              <a:latin typeface="Times New Roman"/>
            </a:rPr>
            <a:t>o</a:t>
          </a:r>
          <a:r>
            <a:rPr b="0" lang="en-US" sz="1200" spc="-1" strike="noStrike">
              <a:latin typeface="Times New Roman"/>
            </a:rPr>
            <a:t>n</a:t>
          </a:r>
          <a:r>
            <a:rPr b="0" lang="en-US" sz="1200" spc="-1" strike="noStrike">
              <a:latin typeface="Times New Roman"/>
            </a:rPr>
            <a:t>s</a:t>
          </a:r>
          <a:r>
            <a:rPr b="0" lang="en-US" sz="1200" spc="-1" strike="noStrike">
              <a:latin typeface="Times New Roman"/>
            </a:rPr>
            <a:t>t</a:t>
          </a:r>
          <a:r>
            <a:rPr b="0" lang="en-US" sz="1200" spc="-1" strike="noStrike">
              <a:latin typeface="Times New Roman"/>
            </a:rPr>
            <a:t>r</a:t>
          </a:r>
          <a:r>
            <a:rPr b="0" lang="en-US" sz="1200" spc="-1" strike="noStrike">
              <a:latin typeface="Times New Roman"/>
            </a:rPr>
            <a:t>a</a:t>
          </a:r>
          <a:r>
            <a:rPr b="0" lang="en-US" sz="1200" spc="-1" strike="noStrike">
              <a:latin typeface="Times New Roman"/>
            </a:rPr>
            <a:t>i</a:t>
          </a:r>
          <a:r>
            <a:rPr b="0" lang="en-US" sz="1200" spc="-1" strike="noStrike">
              <a:latin typeface="Times New Roman"/>
            </a:rPr>
            <a:t>n</a:t>
          </a:r>
          <a:r>
            <a:rPr b="0" lang="en-US" sz="1200" spc="-1" strike="noStrike">
              <a:latin typeface="Times New Roman"/>
            </a:rPr>
            <a:t>t</a:t>
          </a:r>
          <a:r>
            <a:rPr b="0" lang="en-US" sz="1200" spc="-1" strike="noStrike">
              <a:latin typeface="Times New Roman"/>
            </a:rPr>
            <a:t>:</a:t>
          </a: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absolute">
    <xdr:from>
      <xdr:col>0</xdr:col>
      <xdr:colOff>225000</xdr:colOff>
      <xdr:row>18</xdr:row>
      <xdr:rowOff>43200</xdr:rowOff>
    </xdr:from>
    <xdr:to>
      <xdr:col>1</xdr:col>
      <xdr:colOff>105840</xdr:colOff>
      <xdr:row>19</xdr:row>
      <xdr:rowOff>52920</xdr:rowOff>
    </xdr:to>
    <xdr:sp>
      <xdr:nvSpPr>
        <xdr:cNvPr id="47" name=""/>
        <xdr:cNvSpPr txBox="1"/>
      </xdr:nvSpPr>
      <xdr:spPr>
        <a:xfrm>
          <a:off x="225000" y="3267720"/>
          <a:ext cx="1245960" cy="172080"/>
        </a:xfrm>
        <a:prstGeom prst="rect">
          <a:avLst/>
        </a:prstGeom>
        <a:noFill/>
        <a:ln w="0">
          <a:noFill/>
        </a:ln>
      </xdr:spPr>
      <xdr:txBody>
        <a:bodyPr lIns="0" rIns="0" tIns="0" bIns="0">
          <a:noAutofit/>
        </a:bodyPr>
        <a:p>
          <a:r>
            <a:rPr b="0" lang="en-US" sz="1200" spc="-1" strike="noStrike">
              <a:latin typeface="Times New Roman"/>
            </a:rPr>
            <a:t>d</a:t>
          </a:r>
          <a:r>
            <a:rPr b="0" lang="en-US" sz="1200" spc="-1" strike="noStrike">
              <a:latin typeface="Times New Roman"/>
            </a:rPr>
            <a:t>y</a:t>
          </a:r>
          <a:r>
            <a:rPr b="0" lang="en-US" sz="1200" spc="-1" strike="noStrike">
              <a:latin typeface="Times New Roman"/>
            </a:rPr>
            <a:t>a</a:t>
          </a:r>
          <a:r>
            <a:rPr b="0" lang="en-US" sz="1200" spc="-1" strike="noStrike">
              <a:latin typeface="Times New Roman"/>
            </a:rPr>
            <a:t>d</a:t>
          </a:r>
          <a:r>
            <a:rPr b="0" lang="en-US" sz="1200" spc="-1" strike="noStrike">
              <a:latin typeface="Times New Roman"/>
            </a:rPr>
            <a:t>i</a:t>
          </a:r>
          <a:r>
            <a:rPr b="0" lang="en-US" sz="1200" spc="-1" strike="noStrike">
              <a:latin typeface="Times New Roman"/>
            </a:rPr>
            <a:t>c</a:t>
          </a:r>
          <a:r>
            <a:rPr b="0" lang="en-US" sz="1200" spc="-1" strike="noStrike">
              <a:latin typeface="Times New Roman"/>
            </a:rPr>
            <a:t> </a:t>
          </a:r>
          <a:r>
            <a:rPr b="0" lang="en-US" sz="1200" spc="-1" strike="noStrike">
              <a:latin typeface="Times New Roman"/>
            </a:rPr>
            <a:t>c</a:t>
          </a:r>
          <a:r>
            <a:rPr b="0" lang="en-US" sz="1200" spc="-1" strike="noStrike">
              <a:latin typeface="Times New Roman"/>
            </a:rPr>
            <a:t>o</a:t>
          </a:r>
          <a:r>
            <a:rPr b="0" lang="en-US" sz="1200" spc="-1" strike="noStrike">
              <a:latin typeface="Times New Roman"/>
            </a:rPr>
            <a:t>n</a:t>
          </a:r>
          <a:r>
            <a:rPr b="0" lang="en-US" sz="1200" spc="-1" strike="noStrike">
              <a:latin typeface="Times New Roman"/>
            </a:rPr>
            <a:t>s</a:t>
          </a:r>
          <a:r>
            <a:rPr b="0" lang="en-US" sz="1200" spc="-1" strike="noStrike">
              <a:latin typeface="Times New Roman"/>
            </a:rPr>
            <a:t>t</a:t>
          </a:r>
          <a:r>
            <a:rPr b="0" lang="en-US" sz="1200" spc="-1" strike="noStrike">
              <a:latin typeface="Times New Roman"/>
            </a:rPr>
            <a:t>r</a:t>
          </a:r>
          <a:r>
            <a:rPr b="0" lang="en-US" sz="1200" spc="-1" strike="noStrike">
              <a:latin typeface="Times New Roman"/>
            </a:rPr>
            <a:t>a</a:t>
          </a:r>
          <a:r>
            <a:rPr b="0" lang="en-US" sz="1200" spc="-1" strike="noStrike">
              <a:latin typeface="Times New Roman"/>
            </a:rPr>
            <a:t>i</a:t>
          </a:r>
          <a:r>
            <a:rPr b="0" lang="en-US" sz="1200" spc="-1" strike="noStrike">
              <a:latin typeface="Times New Roman"/>
            </a:rPr>
            <a:t>n</a:t>
          </a:r>
          <a:r>
            <a:rPr b="0" lang="en-US" sz="1200" spc="-1" strike="noStrike">
              <a:latin typeface="Times New Roman"/>
            </a:rPr>
            <a:t>t</a:t>
          </a:r>
          <a:r>
            <a:rPr b="0" lang="en-US" sz="1200" spc="-1" strike="noStrike">
              <a:latin typeface="Times New Roman"/>
            </a:rPr>
            <a:t>:</a:t>
          </a:r>
          <a:endParaRPr b="0" lang="en-US" sz="12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74" activeCellId="0" sqref="G7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9.35"/>
    <col collapsed="false" customWidth="true" hidden="false" outlineLevel="0" max="2" min="2" style="0" width="9.21"/>
    <col collapsed="false" customWidth="true" hidden="false" outlineLevel="0" max="3" min="3" style="0" width="6.91"/>
    <col collapsed="false" customWidth="true" hidden="false" outlineLevel="0" max="4" min="4" style="0" width="26.92"/>
    <col collapsed="false" customWidth="true" hidden="false" outlineLevel="0" max="5" min="5" style="0" width="11.61"/>
    <col collapsed="false" customWidth="true" hidden="false" outlineLevel="0" max="6" min="6" style="0" width="7"/>
    <col collapsed="false" customWidth="true" hidden="false" outlineLevel="0" max="7" min="7" style="0" width="33.69"/>
    <col collapsed="false" customWidth="true" hidden="false" outlineLevel="0" max="8" min="8" style="0" width="11.11"/>
    <col collapsed="false" customWidth="true" hidden="false" outlineLevel="0" max="9" min="9" style="0" width="8.43"/>
    <col collapsed="false" customWidth="true" hidden="false" outlineLevel="0" max="11" min="10" style="0" width="11.91"/>
    <col collapsed="false" customWidth="true" hidden="false" outlineLevel="0" max="12" min="12" style="0" width="27.65"/>
    <col collapsed="false" customWidth="true" hidden="false" outlineLevel="0" max="16" min="16" style="0" width="13.82"/>
  </cols>
  <sheetData>
    <row r="1" customFormat="false" ht="29.3" hidden="false" customHeight="true" outlineLevel="0" collapsed="false">
      <c r="A1" s="1" t="s">
        <v>0</v>
      </c>
      <c r="B1" s="1"/>
      <c r="C1" s="1"/>
      <c r="D1" s="1" t="s">
        <v>1</v>
      </c>
      <c r="E1" s="1"/>
      <c r="F1" s="1"/>
      <c r="G1" s="1"/>
      <c r="H1" s="1"/>
      <c r="I1" s="1"/>
      <c r="J1" s="1"/>
      <c r="K1" s="2" t="s">
        <v>2</v>
      </c>
    </row>
    <row r="2" customFormat="false" ht="19.55" hidden="false" customHeight="true" outlineLevel="0" collapsed="false">
      <c r="A2" s="3" t="s">
        <v>3</v>
      </c>
      <c r="B2" s="4" t="s">
        <v>4</v>
      </c>
      <c r="C2" s="4"/>
      <c r="D2" s="3" t="s">
        <v>5</v>
      </c>
      <c r="E2" s="4" t="s">
        <v>6</v>
      </c>
      <c r="F2" s="4"/>
      <c r="G2" s="3" t="s">
        <v>7</v>
      </c>
      <c r="H2" s="4" t="s">
        <v>6</v>
      </c>
      <c r="I2" s="4"/>
      <c r="J2" s="5" t="s">
        <v>8</v>
      </c>
      <c r="K2" s="6"/>
    </row>
    <row r="3" customFormat="false" ht="12.8" hidden="false" customHeight="false" outlineLevel="0" collapsed="false">
      <c r="A3" s="3" t="s">
        <v>9</v>
      </c>
      <c r="B3" s="3" t="s">
        <v>10</v>
      </c>
      <c r="C3" s="7" t="n">
        <f aca="false">1/7</f>
        <v>0.142857142857143</v>
      </c>
      <c r="D3" s="8"/>
      <c r="E3" s="8"/>
      <c r="F3" s="7"/>
      <c r="G3" s="8"/>
      <c r="H3" s="8"/>
      <c r="I3" s="7"/>
      <c r="J3" s="4" t="s">
        <v>11</v>
      </c>
      <c r="K3" s="9" t="n">
        <f aca="false">(C3+F3)^2</f>
        <v>0.0204081632653061</v>
      </c>
    </row>
    <row r="4" customFormat="false" ht="12.8" hidden="false" customHeight="false" outlineLevel="0" collapsed="false">
      <c r="A4" s="3" t="s">
        <v>12</v>
      </c>
      <c r="B4" s="3" t="s">
        <v>10</v>
      </c>
      <c r="C4" s="7" t="n">
        <f aca="false">1/7</f>
        <v>0.142857142857143</v>
      </c>
      <c r="D4" s="8"/>
      <c r="E4" s="8"/>
      <c r="F4" s="7"/>
      <c r="G4" s="8"/>
      <c r="H4" s="8"/>
      <c r="I4" s="7"/>
      <c r="J4" s="4" t="s">
        <v>11</v>
      </c>
      <c r="K4" s="9" t="n">
        <f aca="false">(C4+F4)^2</f>
        <v>0.0204081632653061</v>
      </c>
      <c r="L4" s="10"/>
      <c r="M4" s="10"/>
    </row>
    <row r="5" customFormat="false" ht="12.8" hidden="false" customHeight="false" outlineLevel="0" collapsed="false">
      <c r="A5" s="3" t="s">
        <v>13</v>
      </c>
      <c r="B5" s="3" t="s">
        <v>10</v>
      </c>
      <c r="C5" s="7" t="n">
        <f aca="false">1/7</f>
        <v>0.142857142857143</v>
      </c>
      <c r="D5" s="3" t="s">
        <v>14</v>
      </c>
      <c r="E5" s="8" t="s">
        <v>15</v>
      </c>
      <c r="F5" s="7" t="n">
        <f aca="false">(1/7)*(1/8)</f>
        <v>0.0178571428571429</v>
      </c>
      <c r="G5" s="8"/>
      <c r="H5" s="8"/>
      <c r="I5" s="7"/>
      <c r="J5" s="4" t="s">
        <v>11</v>
      </c>
      <c r="K5" s="9" t="n">
        <f aca="false">(C5+F5)^2</f>
        <v>0.0258290816326531</v>
      </c>
      <c r="L5" s="10"/>
      <c r="M5" s="10"/>
    </row>
    <row r="6" customFormat="false" ht="12.8" hidden="false" customHeight="false" outlineLevel="0" collapsed="false">
      <c r="A6" s="11" t="s">
        <v>16</v>
      </c>
      <c r="B6" s="3" t="s">
        <v>10</v>
      </c>
      <c r="C6" s="7" t="n">
        <f aca="false">1/7</f>
        <v>0.142857142857143</v>
      </c>
      <c r="D6" s="11" t="s">
        <v>17</v>
      </c>
      <c r="E6" s="8" t="s">
        <v>18</v>
      </c>
      <c r="F6" s="7" t="n">
        <f aca="false">(1/7)*(1/2)</f>
        <v>0.0714285714285714</v>
      </c>
      <c r="G6" s="8"/>
      <c r="H6" s="8"/>
      <c r="I6" s="7"/>
      <c r="J6" s="4" t="s">
        <v>11</v>
      </c>
      <c r="K6" s="9" t="n">
        <f aca="false">(C6+F6)^2</f>
        <v>0.0459183673469388</v>
      </c>
      <c r="L6" s="12" t="s">
        <v>19</v>
      </c>
      <c r="M6" s="10"/>
    </row>
    <row r="7" customFormat="false" ht="12.8" hidden="false" customHeight="false" outlineLevel="0" collapsed="false">
      <c r="A7" s="3" t="s">
        <v>20</v>
      </c>
      <c r="B7" s="3" t="s">
        <v>10</v>
      </c>
      <c r="C7" s="7" t="n">
        <f aca="false">1/7</f>
        <v>0.142857142857143</v>
      </c>
      <c r="D7" s="3" t="s">
        <v>21</v>
      </c>
      <c r="E7" s="8" t="s">
        <v>22</v>
      </c>
      <c r="F7" s="7" t="n">
        <f aca="false">(1/7)*(1/9)</f>
        <v>0.0158730158730159</v>
      </c>
      <c r="G7" s="3" t="s">
        <v>23</v>
      </c>
      <c r="H7" s="8" t="s">
        <v>24</v>
      </c>
      <c r="I7" s="7" t="n">
        <f aca="false">(1/7)*(1/11)</f>
        <v>0.012987012987013</v>
      </c>
      <c r="J7" s="4" t="s">
        <v>11</v>
      </c>
      <c r="K7" s="9" t="n">
        <f aca="false">(C7+F7+I7)^2</f>
        <v>0.0294867870625446</v>
      </c>
      <c r="L7" s="10"/>
      <c r="M7" s="10"/>
    </row>
    <row r="8" customFormat="false" ht="12.8" hidden="false" customHeight="false" outlineLevel="0" collapsed="false">
      <c r="A8" s="11" t="s">
        <v>25</v>
      </c>
      <c r="B8" s="3" t="s">
        <v>10</v>
      </c>
      <c r="C8" s="7" t="n">
        <f aca="false">1/7</f>
        <v>0.142857142857143</v>
      </c>
      <c r="D8" s="11" t="s">
        <v>26</v>
      </c>
      <c r="E8" s="8" t="s">
        <v>24</v>
      </c>
      <c r="F8" s="7" t="n">
        <f aca="false">(1/7)*(1/11)</f>
        <v>0.012987012987013</v>
      </c>
      <c r="G8" s="11" t="s">
        <v>27</v>
      </c>
      <c r="H8" s="8" t="s">
        <v>28</v>
      </c>
      <c r="I8" s="7" t="n">
        <f aca="false">(1/7)*(1/13)</f>
        <v>0.010989010989011</v>
      </c>
      <c r="J8" s="4" t="s">
        <v>11</v>
      </c>
      <c r="K8" s="9" t="n">
        <f aca="false">(C8+F8+I8)^2</f>
        <v>0.0278333055555833</v>
      </c>
      <c r="L8" s="10"/>
      <c r="M8" s="10"/>
    </row>
    <row r="9" customFormat="false" ht="13.05" hidden="false" customHeight="false" outlineLevel="0" collapsed="false">
      <c r="A9" s="13" t="s">
        <v>29</v>
      </c>
      <c r="B9" s="14" t="s">
        <v>10</v>
      </c>
      <c r="C9" s="15" t="n">
        <f aca="false">1/7</f>
        <v>0.142857142857143</v>
      </c>
      <c r="D9" s="13" t="s">
        <v>30</v>
      </c>
      <c r="E9" s="16" t="s">
        <v>22</v>
      </c>
      <c r="F9" s="15" t="n">
        <f aca="false">(1/7)*(1/9)</f>
        <v>0.0158730158730159</v>
      </c>
      <c r="G9" s="13" t="s">
        <v>31</v>
      </c>
      <c r="H9" s="16" t="s">
        <v>28</v>
      </c>
      <c r="I9" s="15" t="n">
        <f aca="false">(1/7)*(1/13)</f>
        <v>0.010989010989011</v>
      </c>
      <c r="J9" s="17" t="s">
        <v>11</v>
      </c>
      <c r="K9" s="18" t="n">
        <f aca="false">(C9+F9+I9)^2</f>
        <v>0.0288045965701643</v>
      </c>
      <c r="L9" s="10"/>
      <c r="M9" s="10"/>
    </row>
    <row r="10" customFormat="false" ht="12.8" hidden="false" customHeight="false" outlineLevel="0" collapsed="false">
      <c r="A10" s="3"/>
      <c r="B10" s="3"/>
      <c r="C10" s="8"/>
      <c r="D10" s="8"/>
      <c r="E10" s="8"/>
      <c r="F10" s="8"/>
      <c r="G10" s="8"/>
      <c r="H10" s="19"/>
      <c r="I10" s="20" t="s">
        <v>32</v>
      </c>
      <c r="J10" s="9"/>
      <c r="K10" s="21" t="n">
        <f aca="false">SUM(K3:K9)</f>
        <v>0.198688464698496</v>
      </c>
      <c r="L10" s="10"/>
      <c r="M10" s="10"/>
    </row>
    <row r="11" customFormat="false" ht="12.8" hidden="false" customHeight="false" outlineLevel="0" collapsed="false">
      <c r="A11" s="2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10"/>
      <c r="M11" s="10"/>
    </row>
    <row r="12" customFormat="false" ht="12.8" hidden="false" customHeight="false" outlineLevel="0" collapsed="false">
      <c r="C12" s="24"/>
      <c r="D12" s="24"/>
      <c r="E12" s="24"/>
      <c r="F12" s="24"/>
      <c r="G12" s="24"/>
      <c r="H12" s="24"/>
      <c r="I12" s="24"/>
      <c r="J12" s="24"/>
      <c r="K12" s="24"/>
      <c r="L12" s="10"/>
      <c r="M12" s="10"/>
    </row>
    <row r="13" customFormat="false" ht="12.8" hidden="false" customHeight="false" outlineLevel="0" collapsed="false">
      <c r="L13" s="10"/>
      <c r="M13" s="10"/>
    </row>
    <row r="14" customFormat="false" ht="12.8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2.8" hidden="false" customHeight="false" outlineLevel="0" collapsed="false">
      <c r="L15" s="10"/>
      <c r="M15" s="10"/>
    </row>
    <row r="16" customFormat="false" ht="12.8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2.8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2.8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2.8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2.8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2.8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2.8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2.8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2.8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2.8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2.8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12.8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2.8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2.8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2.8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Format="false" ht="12.8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customFormat="false" ht="12.8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2.8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2.8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customFormat="false" ht="12.8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customFormat="false" ht="12.8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customFormat="false" ht="12.8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2.8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customFormat="false" ht="12.8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customFormat="false" ht="12.8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2.8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customFormat="false" ht="12.8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2.8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customFormat="false" ht="12.8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2.8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2.8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customFormat="false" ht="12.8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customFormat="false" ht="12.8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customFormat="false" ht="12.8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12.8" hidden="false" customHeight="false" outlineLevel="0" collapsed="false">
      <c r="A50" s="10"/>
      <c r="B50" s="10"/>
    </row>
    <row r="51" customFormat="false" ht="12.8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customFormat="false" ht="12.8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customFormat="false" ht="12.8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customFormat="false" ht="12.8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</row>
    <row r="55" customFormat="false" ht="12.8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customFormat="false" ht="12.8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</row>
    <row r="57" customFormat="false" ht="12.8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</row>
    <row r="58" customFormat="false" ht="12.8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</row>
    <row r="59" customFormat="false" ht="12.8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</row>
    <row r="60" customFormat="false" ht="12.8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</row>
    <row r="61" customFormat="false" ht="12.8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</row>
    <row r="62" customFormat="false" ht="12.8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customFormat="false" ht="12.8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</row>
    <row r="64" customFormat="false" ht="12.8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</row>
    <row r="65" customFormat="false" ht="12.8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</row>
    <row r="66" customFormat="false" ht="12.8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</row>
    <row r="67" customFormat="false" ht="12.8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</row>
    <row r="68" customFormat="false" ht="12.8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</row>
    <row r="69" customFormat="false" ht="12.8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</row>
    <row r="70" customFormat="false" ht="12.8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</row>
    <row r="71" customFormat="false" ht="12.8" hidden="false" customHeight="false" outlineLevel="0" collapsed="false">
      <c r="A71" s="10"/>
      <c r="B71" s="10"/>
    </row>
  </sheetData>
  <mergeCells count="5">
    <mergeCell ref="A1:C1"/>
    <mergeCell ref="D1:J1"/>
    <mergeCell ref="B2:C2"/>
    <mergeCell ref="E2:F2"/>
    <mergeCell ref="H2:I2"/>
  </mergeCells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6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3" activeCellId="0" sqref="D33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0.7875" bottom="0.7875" header="0.511805555555555" footer="0.511805555555555"/>
  <pageSetup paperSize="1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LibreOffice/7.1.6.2$Linux_X86_64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2024-03-11T09:38:20Z</dcterms:created>
  <dc:creator/>
  <dc:description/>
  <dc:language>en-US</dc:language>
  <cp:lastModifiedBy/>
  <dcterms:modified xsi:type="dcterms:W3CDTF">2024-03-12T11:04:06Z</dcterms:modified>
  <cp:revision>5</cp:revision>
  <dc:subject/>
  <dc:title/>
</cp:coreProperties>
</file>